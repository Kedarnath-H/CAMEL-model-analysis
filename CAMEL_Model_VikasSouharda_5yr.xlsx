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ting_Key" sheetId="2" state="visible" r:id="rId4"/>
    <sheet name="Inputs" sheetId="3" state="visible" r:id="rId5"/>
    <sheet name="Scorecard" sheetId="4" state="visible" r:id="rId6"/>
    <sheet name="PowerBI_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<sst xmlns="http://schemas.openxmlformats.org/spreadsheetml/2006/main" count="216" uniqueCount="113">
  <si>
    <t xml:space="preserve">VIKAS SOUHARDA CO-OP BANK - CAMEL HEALTH DASHBOARD</t>
  </si>
  <si>
    <t xml:space="preserve">FY2020-21 to FY2024-25 | Rating 1(Strong)-&gt;5(Weak) | Auto-calculated</t>
  </si>
  <si>
    <t xml:space="preserve">Component</t>
  </si>
  <si>
    <t xml:space="preserve">2020-21</t>
  </si>
  <si>
    <t xml:space="preserve">2021-22</t>
  </si>
  <si>
    <t xml:space="preserve">2022-23</t>
  </si>
  <si>
    <t xml:space="preserve">2023-24</t>
  </si>
  <si>
    <t xml:space="preserve">2024-25</t>
  </si>
  <si>
    <t xml:space="preserve">Capital (C)</t>
  </si>
  <si>
    <t xml:space="preserve">Asset Quality (A)</t>
  </si>
  <si>
    <t xml:space="preserve">Management (M)</t>
  </si>
  <si>
    <t xml:space="preserve">Earnings (E)</t>
  </si>
  <si>
    <t xml:space="preserve">Liquidity (L)</t>
  </si>
  <si>
    <t xml:space="preserve">COMPOSITE SCORE</t>
  </si>
  <si>
    <t xml:space="preserve">GRADE</t>
  </si>
  <si>
    <t xml:space="preserve">KEY ANALYTICAL FINDINGS</t>
  </si>
  <si>
    <t xml:space="preserve">1. Trajectory: health peaked FY2022-23 (Satisfactory) then slid in FY23-24 &amp; FY24-25 - driven by Asset Quality + Management, not Capital.</t>
  </si>
  <si>
    <t xml:space="preserve">2. Capital (C): strongest pillar. CRAR 12.3% -&gt; 15.2% (FY24) then eased to 14.68% as RWA outgrew capital.</t>
  </si>
  <si>
    <t xml:space="preserve">3. Asset Quality (A): swing factor. GNPA improved to 1.83% (FY23) then reversed to 4.86% (FY25); PCR fell 100% -&gt; 62.7%.</t>
  </si>
  <si>
    <t xml:space="preserve">4. RBI divergence (FY22-23): true GNPA ~9.3% vs reported 1.83% - governance red flag; stress test drops FY23 to Fair.</t>
  </si>
  <si>
    <t xml:space="preserve">5. Earnings (E): ROA stable but thin (~0.9%); NIM compressed 3.23% -&gt; 2.52% (FY25) - profit leans on non-interest income.</t>
  </si>
  <si>
    <t xml:space="preserve">6. Management (M): Cost-to-Income stuck 72-74% (ex-FY22-23) - persistent inefficiency, worsening again FY24-25.</t>
  </si>
  <si>
    <t xml:space="preserve">7. Liquidity (L): comfortable &amp; stable (CD 62-67%) but structurally low CASA (~13%) keeps funding costs high.</t>
  </si>
  <si>
    <t xml:space="preserve">Bottom line: Adequately capitalised &amp; liquid, but a deteriorating-asset-quality + margin-squeeze story, with an FY22-23 NPA-divergence flag undercutting the reported clean-up.</t>
  </si>
  <si>
    <t xml:space="preserve">CAMEL Rating Key - Thresholds &amp; Weights</t>
  </si>
  <si>
    <t xml:space="preserve">1=Strong | 2=Satisfactory | 3=Fair | 4=Marginal | 5=Weak.  Composite=weighted avg (lower=healthier).</t>
  </si>
  <si>
    <t xml:space="preserve">Pillar</t>
  </si>
  <si>
    <t xml:space="preserve">Scoring Metric</t>
  </si>
  <si>
    <t xml:space="preserve">Direction</t>
  </si>
  <si>
    <t xml:space="preserve">Band-&gt;1</t>
  </si>
  <si>
    <t xml:space="preserve">Band-&gt;2</t>
  </si>
  <si>
    <t xml:space="preserve">Band-&gt;3</t>
  </si>
  <si>
    <t xml:space="preserve">Band-&gt;4</t>
  </si>
  <si>
    <t xml:space="preserve">Weight</t>
  </si>
  <si>
    <t xml:space="preserve">C - Capital Adequacy</t>
  </si>
  <si>
    <t xml:space="preserve">CRAR %</t>
  </si>
  <si>
    <t xml:space="preserve">Higher</t>
  </si>
  <si>
    <t xml:space="preserve">A - Asset Quality</t>
  </si>
  <si>
    <t xml:space="preserve">Gross NPA %</t>
  </si>
  <si>
    <t xml:space="preserve">Lower</t>
  </si>
  <si>
    <t xml:space="preserve">M - Management</t>
  </si>
  <si>
    <t xml:space="preserve">Cost-to-Income %</t>
  </si>
  <si>
    <t xml:space="preserve">E - Earnings</t>
  </si>
  <si>
    <t xml:space="preserve">Return on Assets %</t>
  </si>
  <si>
    <t xml:space="preserve">L - Liquidity</t>
  </si>
  <si>
    <t xml:space="preserve">Credit-Deposit Ratio %</t>
  </si>
  <si>
    <t xml:space="preserve">Total</t>
  </si>
  <si>
    <t xml:space="preserve">Grade: &lt;=1.5 Strong | &lt;=2.5 Satisfactory | &lt;=3.5 Fair | &lt;=4.5 Marginal | &gt;4.5 Weak</t>
  </si>
  <si>
    <t xml:space="preserve">Edit yellow weights/bands to run scenarios - all sheets recalculate.</t>
  </si>
  <si>
    <t xml:space="preserve">Vikas Souharda Co-op Bank - CAMEL Input Ratios (FY2020-21 to FY2024-25)</t>
  </si>
  <si>
    <t xml:space="preserve">All %. Blue=editable inputs. * = scoring driver.</t>
  </si>
  <si>
    <t xml:space="preserve">Metric</t>
  </si>
  <si>
    <t xml:space="preserve">Note</t>
  </si>
  <si>
    <t xml:space="preserve">* CRAR %</t>
  </si>
  <si>
    <t xml:space="preserve">C driver. FY25 audited 14.68 (KPI page 14.98).</t>
  </si>
  <si>
    <t xml:space="preserve">Tier 1 Ratio %</t>
  </si>
  <si>
    <t xml:space="preserve">Info.</t>
  </si>
  <si>
    <t xml:space="preserve">* Gross NPA %</t>
  </si>
  <si>
    <t xml:space="preserve">A driver. FY23 pre-RBI-divergence.</t>
  </si>
  <si>
    <t xml:space="preserve">Net NPA %</t>
  </si>
  <si>
    <t xml:space="preserve">FY23 floored at 0 (reported -1.19).</t>
  </si>
  <si>
    <t xml:space="preserve">Provision Coverage %</t>
  </si>
  <si>
    <t xml:space="preserve">PCR slid FY24-&gt;25.</t>
  </si>
  <si>
    <t xml:space="preserve">* Cost-to-Income %</t>
  </si>
  <si>
    <t xml:space="preserve">M driver. OpEx/(NII+OtherInc), standardised all yrs.</t>
  </si>
  <si>
    <t xml:space="preserve">* Return on Assets %</t>
  </si>
  <si>
    <t xml:space="preserve">E driver.</t>
  </si>
  <si>
    <t xml:space="preserve">Net Interest Margin %</t>
  </si>
  <si>
    <t xml:space="preserve">FY23 4.76 outlier - excluded from score.</t>
  </si>
  <si>
    <t xml:space="preserve">* Credit-Deposit Ratio %</t>
  </si>
  <si>
    <t xml:space="preserve">L driver.</t>
  </si>
  <si>
    <t xml:space="preserve">CASA Ratio %</t>
  </si>
  <si>
    <t xml:space="preserve">n/a</t>
  </si>
  <si>
    <t xml:space="preserve">Structurally low ~13-14%.</t>
  </si>
  <si>
    <t xml:space="preserve">Data-quality flags:</t>
  </si>
  <si>
    <t xml:space="preserve">- FY2022-23 RBI divergence: reported GNPA 1.83% (Rs 8.39 Cr) vs RBI-assessed ~9.3% (Rs 42.53 Cr); adj PAT 7.43-&gt;5.18 Cr.</t>
  </si>
  <si>
    <t xml:space="preserve">- All Rs-figures normalised to Rs Crore before deriving ratios.</t>
  </si>
  <si>
    <t xml:space="preserve">- Cost-to-Income standardised to OpEx/(NII+Other income).</t>
  </si>
  <si>
    <t xml:space="preserve">CAMEL Scorecard - Component Ratings &amp; Weighted Composite</t>
  </si>
  <si>
    <t xml:space="preserve">Auto-calculated from Inputs vs Rating_Key. 1=Strong ... 5=Weak.</t>
  </si>
  <si>
    <t xml:space="preserve">Pillar / Metric</t>
  </si>
  <si>
    <t xml:space="preserve">C - Capital Adequacy (CRAR %)</t>
  </si>
  <si>
    <t xml:space="preserve">A - Asset Quality (Gross NPA %)</t>
  </si>
  <si>
    <t xml:space="preserve">M - Management (Cost-to-Income %)</t>
  </si>
  <si>
    <t xml:space="preserve">E - Earnings (ROA %)</t>
  </si>
  <si>
    <t xml:space="preserve">L - Liquidity (CD Ratio %)</t>
  </si>
  <si>
    <t xml:space="preserve">Weighted Composite Score</t>
  </si>
  <si>
    <t xml:space="preserve">Composite Grade</t>
  </si>
  <si>
    <t xml:space="preserve">Stress test - FY2022-23 RBI-adjusted GNPA 9.3%:</t>
  </si>
  <si>
    <t xml:space="preserve">   A-pillar (adjusted)</t>
  </si>
  <si>
    <t xml:space="preserve">   Composite (FY23 adj.)</t>
  </si>
  <si>
    <t xml:space="preserve">Power BI Fact Table - one row per Year x Pillar (import this sheet)</t>
  </si>
  <si>
    <t xml:space="preserve">Financial_Year</t>
  </si>
  <si>
    <t xml:space="preserve">Pillar_Code</t>
  </si>
  <si>
    <t xml:space="preserve">Pillar_Name</t>
  </si>
  <si>
    <t xml:space="preserve">Scoring_Metric</t>
  </si>
  <si>
    <t xml:space="preserve">Metric_Value</t>
  </si>
  <si>
    <t xml:space="preserve">Component_Rating</t>
  </si>
  <si>
    <t xml:space="preserve">Rating_Weight</t>
  </si>
  <si>
    <t xml:space="preserve">Weighted_Contribution</t>
  </si>
  <si>
    <t xml:space="preserve">Year_Composite</t>
  </si>
  <si>
    <t xml:space="preserve">Composite_Grade</t>
  </si>
  <si>
    <t xml:space="preserve">C</t>
  </si>
  <si>
    <t xml:space="preserve">Capital Adequacy</t>
  </si>
  <si>
    <t xml:space="preserve">A</t>
  </si>
  <si>
    <t xml:space="preserve">Asset Quality</t>
  </si>
  <si>
    <t xml:space="preserve">M</t>
  </si>
  <si>
    <t xml:space="preserve">Management</t>
  </si>
  <si>
    <t xml:space="preserve">E</t>
  </si>
  <si>
    <t xml:space="preserve">Earnings</t>
  </si>
  <si>
    <t xml:space="preserve">L</t>
  </si>
  <si>
    <t xml:space="preserve">Liquidity</t>
  </si>
  <si>
    <t xml:space="preserve">Power BI: Get Data &gt; Excel &gt; PowerBI_Data. Matrix: Financial_Year x Pillar_Code, values=Component_Rating, colour 1(green)-&gt;5(red). KPI card=Year_Composite.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</si>
</sst>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i val="true"/>
      <sz val="11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1"/>
      <color rgb="FF0000FF"/>
      <name val="Arial"/>
      <family val="0"/>
      <charset val="1"/>
    </font>
    <font>
      <sz val="8"/>
      <color rgb="FF595959"/>
      <name val="Arial"/>
      <family val="0"/>
      <charset val="1"/>
    </font>
    <font>
      <i val="true"/>
      <sz val="11"/>
      <color rgb="FFA6A6A6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customFormat="false" ht="15" hidden="false" customHeight="false" outlineLevel="0" collapsed="false">
      <c r="A6" s="4" t="s">
        <v>8</v>
      </c>
      <c r="B6" s="5" t="n">
        <f aca="false">Scorecard!B5</f>
        <v>3</v>
      </c>
      <c r="C6" s="5" t="n">
        <f aca="false">Scorecard!C5</f>
        <v>2</v>
      </c>
      <c r="D6" s="5" t="n">
        <f aca="false">Scorecard!D5</f>
        <v>2</v>
      </c>
      <c r="E6" s="5" t="n">
        <f aca="false">Scorecard!E5</f>
        <v>1</v>
      </c>
      <c r="F6" s="5" t="n">
        <f aca="false">Scorecard!F5</f>
        <v>2</v>
      </c>
    </row>
    <row r="7" customFormat="false" ht="15" hidden="false" customHeight="false" outlineLevel="0" collapsed="false">
      <c r="A7" s="4" t="s">
        <v>9</v>
      </c>
      <c r="B7" s="5" t="n">
        <f aca="false">Scorecard!B6</f>
        <v>3</v>
      </c>
      <c r="C7" s="5" t="n">
        <f aca="false">Scorecard!C6</f>
        <v>2</v>
      </c>
      <c r="D7" s="5" t="n">
        <f aca="false">Scorecard!D6</f>
        <v>1</v>
      </c>
      <c r="E7" s="5" t="n">
        <f aca="false">Scorecard!E6</f>
        <v>3</v>
      </c>
      <c r="F7" s="5" t="n">
        <f aca="false">Scorecard!F6</f>
        <v>3</v>
      </c>
    </row>
    <row r="8" customFormat="false" ht="15" hidden="false" customHeight="false" outlineLevel="0" collapsed="false">
      <c r="A8" s="4" t="s">
        <v>10</v>
      </c>
      <c r="B8" s="5" t="n">
        <f aca="false">Scorecard!B7</f>
        <v>4</v>
      </c>
      <c r="C8" s="5" t="n">
        <f aca="false">Scorecard!C7</f>
        <v>3</v>
      </c>
      <c r="D8" s="5" t="n">
        <f aca="false">Scorecard!D7</f>
        <v>3</v>
      </c>
      <c r="E8" s="5" t="n">
        <f aca="false">Scorecard!E7</f>
        <v>4</v>
      </c>
      <c r="F8" s="5" t="n">
        <f aca="false">Scorecard!F7</f>
        <v>4</v>
      </c>
    </row>
    <row r="9" customFormat="false" ht="15" hidden="false" customHeight="false" outlineLevel="0" collapsed="false">
      <c r="A9" s="4" t="s">
        <v>11</v>
      </c>
      <c r="B9" s="5" t="n">
        <f aca="false">Scorecard!B8</f>
        <v>3</v>
      </c>
      <c r="C9" s="5" t="n">
        <f aca="false">Scorecard!C8</f>
        <v>3</v>
      </c>
      <c r="D9" s="5" t="n">
        <f aca="false">Scorecard!D8</f>
        <v>3</v>
      </c>
      <c r="E9" s="5" t="n">
        <f aca="false">Scorecard!E8</f>
        <v>3</v>
      </c>
      <c r="F9" s="5" t="n">
        <f aca="false">Scorecard!F8</f>
        <v>3</v>
      </c>
    </row>
    <row r="10" customFormat="false" ht="15" hidden="false" customHeight="false" outlineLevel="0" collapsed="false">
      <c r="A10" s="4" t="s">
        <v>12</v>
      </c>
      <c r="B10" s="5" t="n">
        <f aca="false">Scorecard!B9</f>
        <v>2</v>
      </c>
      <c r="C10" s="5" t="n">
        <f aca="false">Scorecard!C9</f>
        <v>2</v>
      </c>
      <c r="D10" s="5" t="n">
        <f aca="false">Scorecard!D9</f>
        <v>2</v>
      </c>
      <c r="E10" s="5" t="n">
        <f aca="false">Scorecard!E9</f>
        <v>2</v>
      </c>
      <c r="F10" s="5" t="n">
        <f aca="false">Scorecard!F9</f>
        <v>2</v>
      </c>
    </row>
    <row r="11" customFormat="false" ht="15" hidden="false" customHeight="false" outlineLevel="0" collapsed="false">
      <c r="A11" s="6" t="s">
        <v>13</v>
      </c>
      <c r="B11" s="7" t="n">
        <f aca="false">Scorecard!B10</f>
        <v>2.95</v>
      </c>
      <c r="C11" s="7" t="n">
        <f aca="false">Scorecard!C10</f>
        <v>2.35</v>
      </c>
      <c r="D11" s="7" t="n">
        <f aca="false">Scorecard!D10</f>
        <v>2.1</v>
      </c>
      <c r="E11" s="7" t="n">
        <f aca="false">Scorecard!E10</f>
        <v>2.55</v>
      </c>
      <c r="F11" s="7" t="n">
        <f aca="false">Scorecard!F10</f>
        <v>2.75</v>
      </c>
    </row>
    <row r="12" customFormat="false" ht="15" hidden="false" customHeight="false" outlineLevel="0" collapsed="false">
      <c r="A12" s="8" t="s">
        <v>14</v>
      </c>
      <c r="B12" s="9" t="str">
        <f aca="false">Scorecard!B11</f>
        <v>Fair</v>
      </c>
      <c r="C12" s="9" t="str">
        <f aca="false">Scorecard!C11</f>
        <v>Satisfactory</v>
      </c>
      <c r="D12" s="9" t="str">
        <f aca="false">Scorecard!D11</f>
        <v>Satisfactory</v>
      </c>
      <c r="E12" s="9" t="str">
        <f aca="false">Scorecard!E11</f>
        <v>Fair</v>
      </c>
      <c r="F12" s="9" t="str">
        <f aca="false">Scorecard!F11</f>
        <v>Fair</v>
      </c>
    </row>
    <row r="14" customFormat="false" ht="15" hidden="false" customHeight="false" outlineLevel="0" collapsed="false">
      <c r="A14" s="10" t="s">
        <v>15</v>
      </c>
    </row>
    <row r="15" customFormat="false" ht="15" hidden="false" customHeight="false" outlineLevel="0" collapsed="false">
      <c r="A15" s="11" t="s">
        <v>16</v>
      </c>
    </row>
    <row r="16" customFormat="false" ht="15" hidden="false" customHeight="false" outlineLevel="0" collapsed="false">
      <c r="A16" s="11" t="s">
        <v>17</v>
      </c>
    </row>
    <row r="17" customFormat="false" ht="15" hidden="false" customHeight="false" outlineLevel="0" collapsed="false">
      <c r="A17" s="11" t="s">
        <v>18</v>
      </c>
    </row>
    <row r="18" customFormat="false" ht="15" hidden="false" customHeight="false" outlineLevel="0" collapsed="false">
      <c r="A18" s="11" t="s">
        <v>19</v>
      </c>
    </row>
    <row r="19" customFormat="false" ht="15" hidden="false" customHeight="false" outlineLevel="0" collapsed="false">
      <c r="A19" s="11" t="s">
        <v>20</v>
      </c>
    </row>
    <row r="20" customFormat="false" ht="15" hidden="false" customHeight="false" outlineLevel="0" collapsed="false">
      <c r="A20" s="11" t="s">
        <v>21</v>
      </c>
    </row>
    <row r="21" customFormat="false" ht="15" hidden="false" customHeight="false" outlineLevel="0" collapsed="false">
      <c r="A21" s="11" t="s">
        <v>22</v>
      </c>
    </row>
    <row r="23" customFormat="false" ht="15" hidden="false" customHeight="false" outlineLevel="0" collapsed="false">
      <c r="A23" s="12" t="s">
        <v>23</v>
      </c>
    </row>
  </sheetData>
  <conditionalFormatting sqref="B6:F10">
    <cfRule type="colorScale" priority="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8" min="4" style="0" width="9"/>
  </cols>
  <sheetData>
    <row r="1" customFormat="false" ht="16.15" hidden="false" customHeight="false" outlineLevel="0" collapsed="false">
      <c r="A1" s="13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</row>
    <row r="5" customFormat="false" ht="15" hidden="false" customHeight="false" outlineLevel="0" collapsed="false">
      <c r="A5" s="14" t="s">
        <v>34</v>
      </c>
      <c r="B5" s="14" t="s">
        <v>35</v>
      </c>
      <c r="C5" s="14" t="s">
        <v>36</v>
      </c>
      <c r="D5" s="15" t="n">
        <v>15</v>
      </c>
      <c r="E5" s="15" t="n">
        <v>13</v>
      </c>
      <c r="F5" s="15" t="n">
        <v>11</v>
      </c>
      <c r="G5" s="15" t="n">
        <v>9</v>
      </c>
      <c r="H5" s="16" t="n">
        <v>0.2</v>
      </c>
    </row>
    <row r="6" customFormat="false" ht="15" hidden="false" customHeight="false" outlineLevel="0" collapsed="false">
      <c r="A6" s="14" t="s">
        <v>37</v>
      </c>
      <c r="B6" s="14" t="s">
        <v>38</v>
      </c>
      <c r="C6" s="14" t="s">
        <v>39</v>
      </c>
      <c r="D6" s="15" t="n">
        <v>2</v>
      </c>
      <c r="E6" s="15" t="n">
        <v>4</v>
      </c>
      <c r="F6" s="15" t="n">
        <v>6</v>
      </c>
      <c r="G6" s="15" t="n">
        <v>9</v>
      </c>
      <c r="H6" s="16" t="n">
        <v>0.25</v>
      </c>
    </row>
    <row r="7" customFormat="false" ht="15" hidden="false" customHeight="false" outlineLevel="0" collapsed="false">
      <c r="A7" s="14" t="s">
        <v>40</v>
      </c>
      <c r="B7" s="14" t="s">
        <v>41</v>
      </c>
      <c r="C7" s="14" t="s">
        <v>39</v>
      </c>
      <c r="D7" s="15" t="n">
        <v>45</v>
      </c>
      <c r="E7" s="15" t="n">
        <v>55</v>
      </c>
      <c r="F7" s="15" t="n">
        <v>65</v>
      </c>
      <c r="G7" s="15" t="n">
        <v>75</v>
      </c>
      <c r="H7" s="16" t="n">
        <v>0.15</v>
      </c>
    </row>
    <row r="8" customFormat="false" ht="15" hidden="false" customHeight="false" outlineLevel="0" collapsed="false">
      <c r="A8" s="14" t="s">
        <v>42</v>
      </c>
      <c r="B8" s="14" t="s">
        <v>43</v>
      </c>
      <c r="C8" s="14" t="s">
        <v>36</v>
      </c>
      <c r="D8" s="15" t="n">
        <v>1.5</v>
      </c>
      <c r="E8" s="15" t="n">
        <v>1</v>
      </c>
      <c r="F8" s="15" t="n">
        <v>0.75</v>
      </c>
      <c r="G8" s="15" t="n">
        <v>0.5</v>
      </c>
      <c r="H8" s="16" t="n">
        <v>0.2</v>
      </c>
    </row>
    <row r="9" customFormat="false" ht="15" hidden="false" customHeight="false" outlineLevel="0" collapsed="false">
      <c r="A9" s="14" t="s">
        <v>44</v>
      </c>
      <c r="B9" s="14" t="s">
        <v>45</v>
      </c>
      <c r="C9" s="14" t="s">
        <v>39</v>
      </c>
      <c r="D9" s="15" t="n">
        <v>60</v>
      </c>
      <c r="E9" s="15" t="n">
        <v>68</v>
      </c>
      <c r="F9" s="15" t="n">
        <v>75</v>
      </c>
      <c r="G9" s="15" t="n">
        <v>85</v>
      </c>
      <c r="H9" s="16" t="n">
        <v>0.2</v>
      </c>
    </row>
    <row r="10" customFormat="false" ht="15" hidden="false" customHeight="false" outlineLevel="0" collapsed="false">
      <c r="G10" s="17" t="s">
        <v>46</v>
      </c>
      <c r="H10" s="18" t="n">
        <f aca="false">SUM(H5:H9)</f>
        <v>1</v>
      </c>
    </row>
    <row r="12" customFormat="false" ht="15" hidden="false" customHeight="false" outlineLevel="0" collapsed="false">
      <c r="A12" s="2" t="s">
        <v>47</v>
      </c>
    </row>
    <row r="13" customFormat="false" ht="15" hidden="false" customHeight="false" outlineLevel="0" collapsed="false">
      <c r="A13" s="19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9"/>
    <col collapsed="false" customWidth="true" hidden="false" outlineLevel="0" max="7" min="7" style="0" width="58"/>
  </cols>
  <sheetData>
    <row r="1" customFormat="false" ht="16.15" hidden="false" customHeight="false" outlineLevel="0" collapsed="false">
      <c r="A1" s="13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52</v>
      </c>
    </row>
    <row r="5" customFormat="false" ht="15" hidden="false" customHeight="false" outlineLevel="0" collapsed="false">
      <c r="A5" s="4" t="s">
        <v>53</v>
      </c>
      <c r="B5" s="20" t="n">
        <v>12.3</v>
      </c>
      <c r="C5" s="20" t="n">
        <v>13.02</v>
      </c>
      <c r="D5" s="20" t="n">
        <v>13.88</v>
      </c>
      <c r="E5" s="20" t="n">
        <v>15.2</v>
      </c>
      <c r="F5" s="20" t="n">
        <v>14.68</v>
      </c>
      <c r="G5" s="21" t="s">
        <v>54</v>
      </c>
    </row>
    <row r="6" customFormat="false" ht="15" hidden="false" customHeight="false" outlineLevel="0" collapsed="false">
      <c r="A6" s="14" t="s">
        <v>55</v>
      </c>
      <c r="B6" s="20" t="n">
        <v>10.99</v>
      </c>
      <c r="C6" s="20" t="n">
        <v>11.81</v>
      </c>
      <c r="D6" s="20" t="n">
        <v>13.35</v>
      </c>
      <c r="E6" s="20" t="n">
        <v>13.35</v>
      </c>
      <c r="F6" s="20" t="n">
        <v>13.35</v>
      </c>
      <c r="G6" s="21" t="s">
        <v>56</v>
      </c>
    </row>
    <row r="7" customFormat="false" ht="15" hidden="false" customHeight="false" outlineLevel="0" collapsed="false">
      <c r="A7" s="4" t="s">
        <v>57</v>
      </c>
      <c r="B7" s="20" t="n">
        <v>4.03</v>
      </c>
      <c r="C7" s="20" t="n">
        <v>2.85</v>
      </c>
      <c r="D7" s="20" t="n">
        <v>1.83</v>
      </c>
      <c r="E7" s="20" t="n">
        <v>4.29</v>
      </c>
      <c r="F7" s="20" t="n">
        <v>4.86</v>
      </c>
      <c r="G7" s="21" t="s">
        <v>58</v>
      </c>
    </row>
    <row r="8" customFormat="false" ht="15" hidden="false" customHeight="false" outlineLevel="0" collapsed="false">
      <c r="A8" s="14" t="s">
        <v>59</v>
      </c>
      <c r="B8" s="20" t="n">
        <v>1.96</v>
      </c>
      <c r="C8" s="20" t="n">
        <v>0.46</v>
      </c>
      <c r="D8" s="20" t="n">
        <v>0</v>
      </c>
      <c r="E8" s="20" t="n">
        <v>0.89</v>
      </c>
      <c r="F8" s="20" t="n">
        <v>1.87</v>
      </c>
      <c r="G8" s="21" t="s">
        <v>60</v>
      </c>
    </row>
    <row r="9" customFormat="false" ht="15" hidden="false" customHeight="false" outlineLevel="0" collapsed="false">
      <c r="A9" s="14" t="s">
        <v>61</v>
      </c>
      <c r="B9" s="20" t="n">
        <v>51</v>
      </c>
      <c r="C9" s="20" t="n">
        <v>100</v>
      </c>
      <c r="D9" s="20" t="n">
        <v>100</v>
      </c>
      <c r="E9" s="20" t="n">
        <v>80</v>
      </c>
      <c r="F9" s="20" t="n">
        <v>62.7</v>
      </c>
      <c r="G9" s="21" t="s">
        <v>62</v>
      </c>
    </row>
    <row r="10" customFormat="false" ht="15" hidden="false" customHeight="false" outlineLevel="0" collapsed="false">
      <c r="A10" s="4" t="s">
        <v>63</v>
      </c>
      <c r="B10" s="20" t="n">
        <v>73.8</v>
      </c>
      <c r="C10" s="20" t="n">
        <v>61.8</v>
      </c>
      <c r="D10" s="20" t="n">
        <v>64.4</v>
      </c>
      <c r="E10" s="20" t="n">
        <v>74.4</v>
      </c>
      <c r="F10" s="20" t="n">
        <v>72.2</v>
      </c>
      <c r="G10" s="21" t="s">
        <v>64</v>
      </c>
    </row>
    <row r="11" customFormat="false" ht="15" hidden="false" customHeight="false" outlineLevel="0" collapsed="false">
      <c r="A11" s="4" t="s">
        <v>65</v>
      </c>
      <c r="B11" s="20" t="n">
        <v>0.97</v>
      </c>
      <c r="C11" s="20" t="n">
        <v>0.82</v>
      </c>
      <c r="D11" s="20" t="n">
        <v>0.91</v>
      </c>
      <c r="E11" s="20" t="n">
        <v>0.92</v>
      </c>
      <c r="F11" s="20" t="n">
        <v>0.87</v>
      </c>
      <c r="G11" s="21" t="s">
        <v>66</v>
      </c>
    </row>
    <row r="12" customFormat="false" ht="15" hidden="false" customHeight="false" outlineLevel="0" collapsed="false">
      <c r="A12" s="14" t="s">
        <v>67</v>
      </c>
      <c r="B12" s="20" t="n">
        <v>2.89</v>
      </c>
      <c r="C12" s="20" t="n">
        <v>2.8</v>
      </c>
      <c r="D12" s="20" t="n">
        <v>4.76</v>
      </c>
      <c r="E12" s="20" t="n">
        <v>3.23</v>
      </c>
      <c r="F12" s="20" t="n">
        <v>2.52</v>
      </c>
      <c r="G12" s="21" t="s">
        <v>68</v>
      </c>
    </row>
    <row r="13" customFormat="false" ht="15" hidden="false" customHeight="false" outlineLevel="0" collapsed="false">
      <c r="A13" s="4" t="s">
        <v>69</v>
      </c>
      <c r="B13" s="20" t="n">
        <v>62.3</v>
      </c>
      <c r="C13" s="20" t="n">
        <v>62.7</v>
      </c>
      <c r="D13" s="20" t="n">
        <v>65.2</v>
      </c>
      <c r="E13" s="20" t="n">
        <v>67.1</v>
      </c>
      <c r="F13" s="20" t="n">
        <v>63</v>
      </c>
      <c r="G13" s="21" t="s">
        <v>70</v>
      </c>
    </row>
    <row r="14" customFormat="false" ht="15" hidden="false" customHeight="false" outlineLevel="0" collapsed="false">
      <c r="A14" s="14" t="s">
        <v>71</v>
      </c>
      <c r="B14" s="20" t="n">
        <v>13.91</v>
      </c>
      <c r="C14" s="20" t="n">
        <v>13.72</v>
      </c>
      <c r="D14" s="20" t="n">
        <v>13.82</v>
      </c>
      <c r="E14" s="20" t="n">
        <v>12.58</v>
      </c>
      <c r="F14" s="22" t="s">
        <v>72</v>
      </c>
      <c r="G14" s="21" t="s">
        <v>73</v>
      </c>
    </row>
    <row r="16" customFormat="false" ht="15" hidden="false" customHeight="false" outlineLevel="0" collapsed="false">
      <c r="A16" s="23" t="s">
        <v>74</v>
      </c>
    </row>
    <row r="17" customFormat="false" ht="15" hidden="false" customHeight="false" outlineLevel="0" collapsed="false">
      <c r="A17" s="24" t="s">
        <v>75</v>
      </c>
    </row>
    <row r="18" customFormat="false" ht="15" hidden="false" customHeight="false" outlineLevel="0" collapsed="false">
      <c r="A18" s="24" t="s">
        <v>76</v>
      </c>
    </row>
    <row r="19" customFormat="false" ht="15" hidden="false" customHeight="false" outlineLevel="0" collapsed="false">
      <c r="A19" s="2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6.15" hidden="false" customHeight="false" outlineLevel="0" collapsed="false">
      <c r="A1" s="13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3" t="s">
        <v>80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14" t="s">
        <v>81</v>
      </c>
      <c r="B5" s="25" t="n">
        <f aca="false">IF(Inputs!B5&gt;=Rating_Key!$D$5,1,IF(Inputs!B5&gt;=Rating_Key!$E$5,2,IF(Inputs!B5&gt;=Rating_Key!$F$5,3,IF(Inputs!B5&gt;=Rating_Key!$G$5,4,5))))</f>
        <v>3</v>
      </c>
      <c r="C5" s="25" t="n">
        <f aca="false">IF(Inputs!C5&gt;=Rating_Key!$D$5,1,IF(Inputs!C5&gt;=Rating_Key!$E$5,2,IF(Inputs!C5&gt;=Rating_Key!$F$5,3,IF(Inputs!C5&gt;=Rating_Key!$G$5,4,5))))</f>
        <v>2</v>
      </c>
      <c r="D5" s="25" t="n">
        <f aca="false">IF(Inputs!D5&gt;=Rating_Key!$D$5,1,IF(Inputs!D5&gt;=Rating_Key!$E$5,2,IF(Inputs!D5&gt;=Rating_Key!$F$5,3,IF(Inputs!D5&gt;=Rating_Key!$G$5,4,5))))</f>
        <v>2</v>
      </c>
      <c r="E5" s="25" t="n">
        <f aca="false">IF(Inputs!E5&gt;=Rating_Key!$D$5,1,IF(Inputs!E5&gt;=Rating_Key!$E$5,2,IF(Inputs!E5&gt;=Rating_Key!$F$5,3,IF(Inputs!E5&gt;=Rating_Key!$G$5,4,5))))</f>
        <v>1</v>
      </c>
      <c r="F5" s="25" t="n">
        <f aca="false">IF(Inputs!F5&gt;=Rating_Key!$D$5,1,IF(Inputs!F5&gt;=Rating_Key!$E$5,2,IF(Inputs!F5&gt;=Rating_Key!$F$5,3,IF(Inputs!F5&gt;=Rating_Key!$G$5,4,5))))</f>
        <v>2</v>
      </c>
    </row>
    <row r="6" customFormat="false" ht="15" hidden="false" customHeight="false" outlineLevel="0" collapsed="false">
      <c r="A6" s="14" t="s">
        <v>82</v>
      </c>
      <c r="B6" s="25" t="n">
        <f aca="false">IF(Inputs!B7&lt;=Rating_Key!$D$6,1,IF(Inputs!B7&lt;=Rating_Key!$E$6,2,IF(Inputs!B7&lt;=Rating_Key!$F$6,3,IF(Inputs!B7&lt;=Rating_Key!$G$6,4,5))))</f>
        <v>3</v>
      </c>
      <c r="C6" s="25" t="n">
        <f aca="false">IF(Inputs!C7&lt;=Rating_Key!$D$6,1,IF(Inputs!C7&lt;=Rating_Key!$E$6,2,IF(Inputs!C7&lt;=Rating_Key!$F$6,3,IF(Inputs!C7&lt;=Rating_Key!$G$6,4,5))))</f>
        <v>2</v>
      </c>
      <c r="D6" s="25" t="n">
        <f aca="false">IF(Inputs!D7&lt;=Rating_Key!$D$6,1,IF(Inputs!D7&lt;=Rating_Key!$E$6,2,IF(Inputs!D7&lt;=Rating_Key!$F$6,3,IF(Inputs!D7&lt;=Rating_Key!$G$6,4,5))))</f>
        <v>1</v>
      </c>
      <c r="E6" s="25" t="n">
        <f aca="false">IF(Inputs!E7&lt;=Rating_Key!$D$6,1,IF(Inputs!E7&lt;=Rating_Key!$E$6,2,IF(Inputs!E7&lt;=Rating_Key!$F$6,3,IF(Inputs!E7&lt;=Rating_Key!$G$6,4,5))))</f>
        <v>3</v>
      </c>
      <c r="F6" s="25" t="n">
        <f aca="false">IF(Inputs!F7&lt;=Rating_Key!$D$6,1,IF(Inputs!F7&lt;=Rating_Key!$E$6,2,IF(Inputs!F7&lt;=Rating_Key!$F$6,3,IF(Inputs!F7&lt;=Rating_Key!$G$6,4,5))))</f>
        <v>3</v>
      </c>
    </row>
    <row r="7" customFormat="false" ht="15" hidden="false" customHeight="false" outlineLevel="0" collapsed="false">
      <c r="A7" s="14" t="s">
        <v>83</v>
      </c>
      <c r="B7" s="25" t="n">
        <f aca="false">IF(Inputs!B10&lt;=Rating_Key!$D$7,1,IF(Inputs!B10&lt;=Rating_Key!$E$7,2,IF(Inputs!B10&lt;=Rating_Key!$F$7,3,IF(Inputs!B10&lt;=Rating_Key!$G$7,4,5))))</f>
        <v>4</v>
      </c>
      <c r="C7" s="25" t="n">
        <f aca="false">IF(Inputs!C10&lt;=Rating_Key!$D$7,1,IF(Inputs!C10&lt;=Rating_Key!$E$7,2,IF(Inputs!C10&lt;=Rating_Key!$F$7,3,IF(Inputs!C10&lt;=Rating_Key!$G$7,4,5))))</f>
        <v>3</v>
      </c>
      <c r="D7" s="25" t="n">
        <f aca="false">IF(Inputs!D10&lt;=Rating_Key!$D$7,1,IF(Inputs!D10&lt;=Rating_Key!$E$7,2,IF(Inputs!D10&lt;=Rating_Key!$F$7,3,IF(Inputs!D10&lt;=Rating_Key!$G$7,4,5))))</f>
        <v>3</v>
      </c>
      <c r="E7" s="25" t="n">
        <f aca="false">IF(Inputs!E10&lt;=Rating_Key!$D$7,1,IF(Inputs!E10&lt;=Rating_Key!$E$7,2,IF(Inputs!E10&lt;=Rating_Key!$F$7,3,IF(Inputs!E10&lt;=Rating_Key!$G$7,4,5))))</f>
        <v>4</v>
      </c>
      <c r="F7" s="25" t="n">
        <f aca="false">IF(Inputs!F10&lt;=Rating_Key!$D$7,1,IF(Inputs!F10&lt;=Rating_Key!$E$7,2,IF(Inputs!F10&lt;=Rating_Key!$F$7,3,IF(Inputs!F10&lt;=Rating_Key!$G$7,4,5))))</f>
        <v>4</v>
      </c>
    </row>
    <row r="8" customFormat="false" ht="15" hidden="false" customHeight="false" outlineLevel="0" collapsed="false">
      <c r="A8" s="14" t="s">
        <v>84</v>
      </c>
      <c r="B8" s="25" t="n">
        <f aca="false">IF(Inputs!B11&gt;=Rating_Key!$D$8,1,IF(Inputs!B11&gt;=Rating_Key!$E$8,2,IF(Inputs!B11&gt;=Rating_Key!$F$8,3,IF(Inputs!B11&gt;=Rating_Key!$G$8,4,5))))</f>
        <v>3</v>
      </c>
      <c r="C8" s="25" t="n">
        <f aca="false">IF(Inputs!C11&gt;=Rating_Key!$D$8,1,IF(Inputs!C11&gt;=Rating_Key!$E$8,2,IF(Inputs!C11&gt;=Rating_Key!$F$8,3,IF(Inputs!C11&gt;=Rating_Key!$G$8,4,5))))</f>
        <v>3</v>
      </c>
      <c r="D8" s="25" t="n">
        <f aca="false">IF(Inputs!D11&gt;=Rating_Key!$D$8,1,IF(Inputs!D11&gt;=Rating_Key!$E$8,2,IF(Inputs!D11&gt;=Rating_Key!$F$8,3,IF(Inputs!D11&gt;=Rating_Key!$G$8,4,5))))</f>
        <v>3</v>
      </c>
      <c r="E8" s="25" t="n">
        <f aca="false">IF(Inputs!E11&gt;=Rating_Key!$D$8,1,IF(Inputs!E11&gt;=Rating_Key!$E$8,2,IF(Inputs!E11&gt;=Rating_Key!$F$8,3,IF(Inputs!E11&gt;=Rating_Key!$G$8,4,5))))</f>
        <v>3</v>
      </c>
      <c r="F8" s="25" t="n">
        <f aca="false">IF(Inputs!F11&gt;=Rating_Key!$D$8,1,IF(Inputs!F11&gt;=Rating_Key!$E$8,2,IF(Inputs!F11&gt;=Rating_Key!$F$8,3,IF(Inputs!F11&gt;=Rating_Key!$G$8,4,5))))</f>
        <v>3</v>
      </c>
    </row>
    <row r="9" customFormat="false" ht="15" hidden="false" customHeight="false" outlineLevel="0" collapsed="false">
      <c r="A9" s="14" t="s">
        <v>85</v>
      </c>
      <c r="B9" s="25" t="n">
        <f aca="false">IF(Inputs!B13&lt;=Rating_Key!$D$9,1,IF(Inputs!B13&lt;=Rating_Key!$E$9,2,IF(Inputs!B13&lt;=Rating_Key!$F$9,3,IF(Inputs!B13&lt;=Rating_Key!$G$9,4,5))))</f>
        <v>2</v>
      </c>
      <c r="C9" s="25" t="n">
        <f aca="false">IF(Inputs!C13&lt;=Rating_Key!$D$9,1,IF(Inputs!C13&lt;=Rating_Key!$E$9,2,IF(Inputs!C13&lt;=Rating_Key!$F$9,3,IF(Inputs!C13&lt;=Rating_Key!$G$9,4,5))))</f>
        <v>2</v>
      </c>
      <c r="D9" s="25" t="n">
        <f aca="false">IF(Inputs!D13&lt;=Rating_Key!$D$9,1,IF(Inputs!D13&lt;=Rating_Key!$E$9,2,IF(Inputs!D13&lt;=Rating_Key!$F$9,3,IF(Inputs!D13&lt;=Rating_Key!$G$9,4,5))))</f>
        <v>2</v>
      </c>
      <c r="E9" s="25" t="n">
        <f aca="false">IF(Inputs!E13&lt;=Rating_Key!$D$9,1,IF(Inputs!E13&lt;=Rating_Key!$E$9,2,IF(Inputs!E13&lt;=Rating_Key!$F$9,3,IF(Inputs!E13&lt;=Rating_Key!$G$9,4,5))))</f>
        <v>2</v>
      </c>
      <c r="F9" s="25" t="n">
        <f aca="false">IF(Inputs!F13&lt;=Rating_Key!$D$9,1,IF(Inputs!F13&lt;=Rating_Key!$E$9,2,IF(Inputs!F13&lt;=Rating_Key!$F$9,3,IF(Inputs!F13&lt;=Rating_Key!$G$9,4,5))))</f>
        <v>2</v>
      </c>
    </row>
    <row r="10" customFormat="false" ht="15" hidden="false" customHeight="false" outlineLevel="0" collapsed="false">
      <c r="A10" s="26" t="s">
        <v>86</v>
      </c>
      <c r="B10" s="27" t="n">
        <f aca="false">SUMPRODUCT(B5:B9,Rating_Key!$H$5:$H$9)</f>
        <v>2.95</v>
      </c>
      <c r="C10" s="27" t="n">
        <f aca="false">SUMPRODUCT(C5:C9,Rating_Key!$H$5:$H$9)</f>
        <v>2.35</v>
      </c>
      <c r="D10" s="27" t="n">
        <f aca="false">SUMPRODUCT(D5:D9,Rating_Key!$H$5:$H$9)</f>
        <v>2.1</v>
      </c>
      <c r="E10" s="27" t="n">
        <f aca="false">SUMPRODUCT(E5:E9,Rating_Key!$H$5:$H$9)</f>
        <v>2.55</v>
      </c>
      <c r="F10" s="27" t="n">
        <f aca="false">SUMPRODUCT(F5:F9,Rating_Key!$H$5:$H$9)</f>
        <v>2.75</v>
      </c>
    </row>
    <row r="11" customFormat="false" ht="15" hidden="false" customHeight="false" outlineLevel="0" collapsed="false">
      <c r="A11" s="4" t="s">
        <v>87</v>
      </c>
      <c r="B11" s="28" t="str">
        <f aca="false">IF(B10&lt;=1.5,"Strong",IF(B10&lt;=2.5,"Satisfactory",IF(B10&lt;=3.5,"Fair",IF(B10&lt;=4.5,"Marginal","Weak"))))</f>
        <v>Fair</v>
      </c>
      <c r="C11" s="28" t="str">
        <f aca="false">IF(C10&lt;=1.5,"Strong",IF(C10&lt;=2.5,"Satisfactory",IF(C10&lt;=3.5,"Fair",IF(C10&lt;=4.5,"Marginal","Weak"))))</f>
        <v>Satisfactory</v>
      </c>
      <c r="D11" s="28" t="str">
        <f aca="false">IF(D10&lt;=1.5,"Strong",IF(D10&lt;=2.5,"Satisfactory",IF(D10&lt;=3.5,"Fair",IF(D10&lt;=4.5,"Marginal","Weak"))))</f>
        <v>Satisfactory</v>
      </c>
      <c r="E11" s="28" t="str">
        <f aca="false">IF(E10&lt;=1.5,"Strong",IF(E10&lt;=2.5,"Satisfactory",IF(E10&lt;=3.5,"Fair",IF(E10&lt;=4.5,"Marginal","Weak"))))</f>
        <v>Fair</v>
      </c>
      <c r="F11" s="28" t="str">
        <f aca="false">IF(F10&lt;=1.5,"Strong",IF(F10&lt;=2.5,"Satisfactory",IF(F10&lt;=3.5,"Fair",IF(F10&lt;=4.5,"Marginal","Weak"))))</f>
        <v>Fair</v>
      </c>
    </row>
    <row r="14" customFormat="false" ht="15" hidden="false" customHeight="false" outlineLevel="0" collapsed="false">
      <c r="A14" s="29" t="s">
        <v>88</v>
      </c>
    </row>
    <row r="15" customFormat="false" ht="15" hidden="false" customHeight="false" outlineLevel="0" collapsed="false">
      <c r="A15" s="30" t="s">
        <v>89</v>
      </c>
      <c r="D15" s="31" t="n">
        <f aca="false">IF(9.3&lt;=Rating_Key!$D$6,1,IF(9.3&lt;=Rating_Key!$E$6,2,IF(9.3&lt;=Rating_Key!$F$6,3,IF(9.3&lt;=Rating_Key!$G$6,4,5))))</f>
        <v>5</v>
      </c>
    </row>
    <row r="16" customFormat="false" ht="15" hidden="false" customHeight="false" outlineLevel="0" collapsed="false">
      <c r="A16" s="30" t="s">
        <v>90</v>
      </c>
      <c r="D16" s="32" t="n">
        <f aca="false">D5*Rating_Key!$H$5+D15*Rating_Key!$H$6+D7*Rating_Key!$H$7+D8*Rating_Key!$H$8+D9*Rating_Key!$H$9</f>
        <v>3.1</v>
      </c>
    </row>
  </sheetData>
  <conditionalFormatting sqref="B5:F9">
    <cfRule type="colorScale" priority="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21"/>
    <col collapsed="false" customWidth="true" hidden="false" outlineLevel="0" max="9" min="9" style="0" width="15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33" t="s">
        <v>91</v>
      </c>
    </row>
    <row r="3" customFormat="false" ht="15" hidden="false" customHeight="false" outlineLevel="0" collapsed="false">
      <c r="A3" s="3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97</v>
      </c>
      <c r="G3" s="3" t="s">
        <v>98</v>
      </c>
      <c r="H3" s="3" t="s">
        <v>99</v>
      </c>
      <c r="I3" s="3" t="s">
        <v>100</v>
      </c>
      <c r="J3" s="3" t="s">
        <v>101</v>
      </c>
    </row>
    <row r="4" customFormat="false" ht="15" hidden="false" customHeight="false" outlineLevel="0" collapsed="false">
      <c r="A4" s="14" t="s">
        <v>3</v>
      </c>
      <c r="B4" s="14" t="s">
        <v>102</v>
      </c>
      <c r="C4" s="14" t="s">
        <v>103</v>
      </c>
      <c r="D4" s="14" t="s">
        <v>35</v>
      </c>
      <c r="E4" s="34" t="n">
        <f aca="false">Inputs!B5</f>
        <v>12.3</v>
      </c>
      <c r="F4" s="15" t="n">
        <f aca="false">Scorecard!B5</f>
        <v>3</v>
      </c>
      <c r="G4" s="35" t="n">
        <f aca="false">Rating_Key!$H$5</f>
        <v>0.2</v>
      </c>
      <c r="H4" s="34" t="n">
        <f aca="false">Scorecard!B5*Rating_Key!$H$5</f>
        <v>0.6</v>
      </c>
      <c r="I4" s="34" t="n">
        <f aca="false">Scorecard!B10</f>
        <v>2.95</v>
      </c>
      <c r="J4" s="15" t="str">
        <f aca="false">Scorecard!B11</f>
        <v>Fair</v>
      </c>
    </row>
    <row r="5" customFormat="false" ht="15" hidden="false" customHeight="false" outlineLevel="0" collapsed="false">
      <c r="A5" s="14" t="s">
        <v>3</v>
      </c>
      <c r="B5" s="14" t="s">
        <v>104</v>
      </c>
      <c r="C5" s="14" t="s">
        <v>105</v>
      </c>
      <c r="D5" s="14" t="s">
        <v>38</v>
      </c>
      <c r="E5" s="34" t="n">
        <f aca="false">Inputs!B7</f>
        <v>4.03</v>
      </c>
      <c r="F5" s="15" t="n">
        <f aca="false">Scorecard!B6</f>
        <v>3</v>
      </c>
      <c r="G5" s="35" t="n">
        <f aca="false">Rating_Key!$H$6</f>
        <v>0.25</v>
      </c>
      <c r="H5" s="34" t="n">
        <f aca="false">Scorecard!B6*Rating_Key!$H$6</f>
        <v>0.75</v>
      </c>
      <c r="I5" s="34" t="n">
        <f aca="false">Scorecard!B10</f>
        <v>2.95</v>
      </c>
      <c r="J5" s="15" t="str">
        <f aca="false">Scorecard!B11</f>
        <v>Fair</v>
      </c>
    </row>
    <row r="6" customFormat="false" ht="15" hidden="false" customHeight="false" outlineLevel="0" collapsed="false">
      <c r="A6" s="14" t="s">
        <v>3</v>
      </c>
      <c r="B6" s="14" t="s">
        <v>106</v>
      </c>
      <c r="C6" s="14" t="s">
        <v>107</v>
      </c>
      <c r="D6" s="14" t="s">
        <v>41</v>
      </c>
      <c r="E6" s="34" t="n">
        <f aca="false">Inputs!B10</f>
        <v>73.8</v>
      </c>
      <c r="F6" s="15" t="n">
        <f aca="false">Scorecard!B7</f>
        <v>4</v>
      </c>
      <c r="G6" s="35" t="n">
        <f aca="false">Rating_Key!$H$7</f>
        <v>0.15</v>
      </c>
      <c r="H6" s="34" t="n">
        <f aca="false">Scorecard!B7*Rating_Key!$H$7</f>
        <v>0.6</v>
      </c>
      <c r="I6" s="34" t="n">
        <f aca="false">Scorecard!B10</f>
        <v>2.95</v>
      </c>
      <c r="J6" s="15" t="str">
        <f aca="false">Scorecard!B11</f>
        <v>Fair</v>
      </c>
    </row>
    <row r="7" customFormat="false" ht="15" hidden="false" customHeight="false" outlineLevel="0" collapsed="false">
      <c r="A7" s="14" t="s">
        <v>3</v>
      </c>
      <c r="B7" s="14" t="s">
        <v>108</v>
      </c>
      <c r="C7" s="14" t="s">
        <v>109</v>
      </c>
      <c r="D7" s="14" t="s">
        <v>43</v>
      </c>
      <c r="E7" s="34" t="n">
        <f aca="false">Inputs!B11</f>
        <v>0.97</v>
      </c>
      <c r="F7" s="15" t="n">
        <f aca="false">Scorecard!B8</f>
        <v>3</v>
      </c>
      <c r="G7" s="35" t="n">
        <f aca="false">Rating_Key!$H$8</f>
        <v>0.2</v>
      </c>
      <c r="H7" s="34" t="n">
        <f aca="false">Scorecard!B8*Rating_Key!$H$8</f>
        <v>0.6</v>
      </c>
      <c r="I7" s="34" t="n">
        <f aca="false">Scorecard!B10</f>
        <v>2.95</v>
      </c>
      <c r="J7" s="15" t="str">
        <f aca="false">Scorecard!B11</f>
        <v>Fair</v>
      </c>
    </row>
    <row r="8" customFormat="false" ht="15" hidden="false" customHeight="false" outlineLevel="0" collapsed="false">
      <c r="A8" s="14" t="s">
        <v>3</v>
      </c>
      <c r="B8" s="14" t="s">
        <v>110</v>
      </c>
      <c r="C8" s="14" t="s">
        <v>111</v>
      </c>
      <c r="D8" s="14" t="s">
        <v>45</v>
      </c>
      <c r="E8" s="34" t="n">
        <f aca="false">Inputs!B13</f>
        <v>62.3</v>
      </c>
      <c r="F8" s="15" t="n">
        <f aca="false">Scorecard!B9</f>
        <v>2</v>
      </c>
      <c r="G8" s="35" t="n">
        <f aca="false">Rating_Key!$H$9</f>
        <v>0.2</v>
      </c>
      <c r="H8" s="34" t="n">
        <f aca="false">Scorecard!B9*Rating_Key!$H$9</f>
        <v>0.4</v>
      </c>
      <c r="I8" s="34" t="n">
        <f aca="false">Scorecard!B10</f>
        <v>2.95</v>
      </c>
      <c r="J8" s="15" t="str">
        <f aca="false">Scorecard!B11</f>
        <v>Fair</v>
      </c>
    </row>
    <row r="9" customFormat="false" ht="15" hidden="false" customHeight="false" outlineLevel="0" collapsed="false">
      <c r="A9" s="14" t="s">
        <v>4</v>
      </c>
      <c r="B9" s="14" t="s">
        <v>102</v>
      </c>
      <c r="C9" s="14" t="s">
        <v>103</v>
      </c>
      <c r="D9" s="14" t="s">
        <v>35</v>
      </c>
      <c r="E9" s="34" t="n">
        <f aca="false">Inputs!C5</f>
        <v>13.02</v>
      </c>
      <c r="F9" s="15" t="n">
        <f aca="false">Scorecard!C5</f>
        <v>2</v>
      </c>
      <c r="G9" s="35" t="n">
        <f aca="false">Rating_Key!$H$5</f>
        <v>0.2</v>
      </c>
      <c r="H9" s="34" t="n">
        <f aca="false">Scorecard!C5*Rating_Key!$H$5</f>
        <v>0.4</v>
      </c>
      <c r="I9" s="34" t="n">
        <f aca="false">Scorecard!C10</f>
        <v>2.35</v>
      </c>
      <c r="J9" s="15" t="str">
        <f aca="false">Scorecard!C11</f>
        <v>Satisfactory</v>
      </c>
    </row>
    <row r="10" customFormat="false" ht="15" hidden="false" customHeight="false" outlineLevel="0" collapsed="false">
      <c r="A10" s="14" t="s">
        <v>4</v>
      </c>
      <c r="B10" s="14" t="s">
        <v>104</v>
      </c>
      <c r="C10" s="14" t="s">
        <v>105</v>
      </c>
      <c r="D10" s="14" t="s">
        <v>38</v>
      </c>
      <c r="E10" s="34" t="n">
        <f aca="false">Inputs!C7</f>
        <v>2.85</v>
      </c>
      <c r="F10" s="15" t="n">
        <f aca="false">Scorecard!C6</f>
        <v>2</v>
      </c>
      <c r="G10" s="35" t="n">
        <f aca="false">Rating_Key!$H$6</f>
        <v>0.25</v>
      </c>
      <c r="H10" s="34" t="n">
        <f aca="false">Scorecard!C6*Rating_Key!$H$6</f>
        <v>0.5</v>
      </c>
      <c r="I10" s="34" t="n">
        <f aca="false">Scorecard!C10</f>
        <v>2.35</v>
      </c>
      <c r="J10" s="15" t="str">
        <f aca="false">Scorecard!C11</f>
        <v>Satisfactory</v>
      </c>
    </row>
    <row r="11" customFormat="false" ht="15" hidden="false" customHeight="false" outlineLevel="0" collapsed="false">
      <c r="A11" s="14" t="s">
        <v>4</v>
      </c>
      <c r="B11" s="14" t="s">
        <v>106</v>
      </c>
      <c r="C11" s="14" t="s">
        <v>107</v>
      </c>
      <c r="D11" s="14" t="s">
        <v>41</v>
      </c>
      <c r="E11" s="34" t="n">
        <f aca="false">Inputs!C10</f>
        <v>61.8</v>
      </c>
      <c r="F11" s="15" t="n">
        <f aca="false">Scorecard!C7</f>
        <v>3</v>
      </c>
      <c r="G11" s="35" t="n">
        <f aca="false">Rating_Key!$H$7</f>
        <v>0.15</v>
      </c>
      <c r="H11" s="34" t="n">
        <f aca="false">Scorecard!C7*Rating_Key!$H$7</f>
        <v>0.45</v>
      </c>
      <c r="I11" s="34" t="n">
        <f aca="false">Scorecard!C10</f>
        <v>2.35</v>
      </c>
      <c r="J11" s="15" t="str">
        <f aca="false">Scorecard!C11</f>
        <v>Satisfactory</v>
      </c>
    </row>
    <row r="12" customFormat="false" ht="15" hidden="false" customHeight="false" outlineLevel="0" collapsed="false">
      <c r="A12" s="14" t="s">
        <v>4</v>
      </c>
      <c r="B12" s="14" t="s">
        <v>108</v>
      </c>
      <c r="C12" s="14" t="s">
        <v>109</v>
      </c>
      <c r="D12" s="14" t="s">
        <v>43</v>
      </c>
      <c r="E12" s="34" t="n">
        <f aca="false">Inputs!C11</f>
        <v>0.82</v>
      </c>
      <c r="F12" s="15" t="n">
        <f aca="false">Scorecard!C8</f>
        <v>3</v>
      </c>
      <c r="G12" s="35" t="n">
        <f aca="false">Rating_Key!$H$8</f>
        <v>0.2</v>
      </c>
      <c r="H12" s="34" t="n">
        <f aca="false">Scorecard!C8*Rating_Key!$H$8</f>
        <v>0.6</v>
      </c>
      <c r="I12" s="34" t="n">
        <f aca="false">Scorecard!C10</f>
        <v>2.35</v>
      </c>
      <c r="J12" s="15" t="str">
        <f aca="false">Scorecard!C11</f>
        <v>Satisfactory</v>
      </c>
    </row>
    <row r="13" customFormat="false" ht="15" hidden="false" customHeight="false" outlineLevel="0" collapsed="false">
      <c r="A13" s="14" t="s">
        <v>4</v>
      </c>
      <c r="B13" s="14" t="s">
        <v>110</v>
      </c>
      <c r="C13" s="14" t="s">
        <v>111</v>
      </c>
      <c r="D13" s="14" t="s">
        <v>45</v>
      </c>
      <c r="E13" s="34" t="n">
        <f aca="false">Inputs!C13</f>
        <v>62.7</v>
      </c>
      <c r="F13" s="15" t="n">
        <f aca="false">Scorecard!C9</f>
        <v>2</v>
      </c>
      <c r="G13" s="35" t="n">
        <f aca="false">Rating_Key!$H$9</f>
        <v>0.2</v>
      </c>
      <c r="H13" s="34" t="n">
        <f aca="false">Scorecard!C9*Rating_Key!$H$9</f>
        <v>0.4</v>
      </c>
      <c r="I13" s="34" t="n">
        <f aca="false">Scorecard!C10</f>
        <v>2.35</v>
      </c>
      <c r="J13" s="15" t="str">
        <f aca="false">Scorecard!C11</f>
        <v>Satisfactory</v>
      </c>
    </row>
    <row r="14" customFormat="false" ht="15" hidden="false" customHeight="false" outlineLevel="0" collapsed="false">
      <c r="A14" s="14" t="s">
        <v>5</v>
      </c>
      <c r="B14" s="14" t="s">
        <v>102</v>
      </c>
      <c r="C14" s="14" t="s">
        <v>103</v>
      </c>
      <c r="D14" s="14" t="s">
        <v>35</v>
      </c>
      <c r="E14" s="34" t="n">
        <f aca="false">Inputs!D5</f>
        <v>13.88</v>
      </c>
      <c r="F14" s="15" t="n">
        <f aca="false">Scorecard!D5</f>
        <v>2</v>
      </c>
      <c r="G14" s="35" t="n">
        <f aca="false">Rating_Key!$H$5</f>
        <v>0.2</v>
      </c>
      <c r="H14" s="34" t="n">
        <f aca="false">Scorecard!D5*Rating_Key!$H$5</f>
        <v>0.4</v>
      </c>
      <c r="I14" s="34" t="n">
        <f aca="false">Scorecard!D10</f>
        <v>2.1</v>
      </c>
      <c r="J14" s="15" t="str">
        <f aca="false">Scorecard!D11</f>
        <v>Satisfactory</v>
      </c>
    </row>
    <row r="15" customFormat="false" ht="15" hidden="false" customHeight="false" outlineLevel="0" collapsed="false">
      <c r="A15" s="14" t="s">
        <v>5</v>
      </c>
      <c r="B15" s="14" t="s">
        <v>104</v>
      </c>
      <c r="C15" s="14" t="s">
        <v>105</v>
      </c>
      <c r="D15" s="14" t="s">
        <v>38</v>
      </c>
      <c r="E15" s="34" t="n">
        <f aca="false">Inputs!D7</f>
        <v>1.83</v>
      </c>
      <c r="F15" s="15" t="n">
        <f aca="false">Scorecard!D6</f>
        <v>1</v>
      </c>
      <c r="G15" s="35" t="n">
        <f aca="false">Rating_Key!$H$6</f>
        <v>0.25</v>
      </c>
      <c r="H15" s="34" t="n">
        <f aca="false">Scorecard!D6*Rating_Key!$H$6</f>
        <v>0.25</v>
      </c>
      <c r="I15" s="34" t="n">
        <f aca="false">Scorecard!D10</f>
        <v>2.1</v>
      </c>
      <c r="J15" s="15" t="str">
        <f aca="false">Scorecard!D11</f>
        <v>Satisfactory</v>
      </c>
    </row>
    <row r="16" customFormat="false" ht="15" hidden="false" customHeight="false" outlineLevel="0" collapsed="false">
      <c r="A16" s="14" t="s">
        <v>5</v>
      </c>
      <c r="B16" s="14" t="s">
        <v>106</v>
      </c>
      <c r="C16" s="14" t="s">
        <v>107</v>
      </c>
      <c r="D16" s="14" t="s">
        <v>41</v>
      </c>
      <c r="E16" s="34" t="n">
        <f aca="false">Inputs!D10</f>
        <v>64.4</v>
      </c>
      <c r="F16" s="15" t="n">
        <f aca="false">Scorecard!D7</f>
        <v>3</v>
      </c>
      <c r="G16" s="35" t="n">
        <f aca="false">Rating_Key!$H$7</f>
        <v>0.15</v>
      </c>
      <c r="H16" s="34" t="n">
        <f aca="false">Scorecard!D7*Rating_Key!$H$7</f>
        <v>0.45</v>
      </c>
      <c r="I16" s="34" t="n">
        <f aca="false">Scorecard!D10</f>
        <v>2.1</v>
      </c>
      <c r="J16" s="15" t="str">
        <f aca="false">Scorecard!D11</f>
        <v>Satisfactory</v>
      </c>
    </row>
    <row r="17" customFormat="false" ht="15" hidden="false" customHeight="false" outlineLevel="0" collapsed="false">
      <c r="A17" s="14" t="s">
        <v>5</v>
      </c>
      <c r="B17" s="14" t="s">
        <v>108</v>
      </c>
      <c r="C17" s="14" t="s">
        <v>109</v>
      </c>
      <c r="D17" s="14" t="s">
        <v>43</v>
      </c>
      <c r="E17" s="34" t="n">
        <f aca="false">Inputs!D11</f>
        <v>0.91</v>
      </c>
      <c r="F17" s="15" t="n">
        <f aca="false">Scorecard!D8</f>
        <v>3</v>
      </c>
      <c r="G17" s="35" t="n">
        <f aca="false">Rating_Key!$H$8</f>
        <v>0.2</v>
      </c>
      <c r="H17" s="34" t="n">
        <f aca="false">Scorecard!D8*Rating_Key!$H$8</f>
        <v>0.6</v>
      </c>
      <c r="I17" s="34" t="n">
        <f aca="false">Scorecard!D10</f>
        <v>2.1</v>
      </c>
      <c r="J17" s="15" t="str">
        <f aca="false">Scorecard!D11</f>
        <v>Satisfactory</v>
      </c>
    </row>
    <row r="18" customFormat="false" ht="15" hidden="false" customHeight="false" outlineLevel="0" collapsed="false">
      <c r="A18" s="14" t="s">
        <v>5</v>
      </c>
      <c r="B18" s="14" t="s">
        <v>110</v>
      </c>
      <c r="C18" s="14" t="s">
        <v>111</v>
      </c>
      <c r="D18" s="14" t="s">
        <v>45</v>
      </c>
      <c r="E18" s="34" t="n">
        <f aca="false">Inputs!D13</f>
        <v>65.2</v>
      </c>
      <c r="F18" s="15" t="n">
        <f aca="false">Scorecard!D9</f>
        <v>2</v>
      </c>
      <c r="G18" s="35" t="n">
        <f aca="false">Rating_Key!$H$9</f>
        <v>0.2</v>
      </c>
      <c r="H18" s="34" t="n">
        <f aca="false">Scorecard!D9*Rating_Key!$H$9</f>
        <v>0.4</v>
      </c>
      <c r="I18" s="34" t="n">
        <f aca="false">Scorecard!D10</f>
        <v>2.1</v>
      </c>
      <c r="J18" s="15" t="str">
        <f aca="false">Scorecard!D11</f>
        <v>Satisfactory</v>
      </c>
    </row>
    <row r="19" customFormat="false" ht="15" hidden="false" customHeight="false" outlineLevel="0" collapsed="false">
      <c r="A19" s="14" t="s">
        <v>6</v>
      </c>
      <c r="B19" s="14" t="s">
        <v>102</v>
      </c>
      <c r="C19" s="14" t="s">
        <v>103</v>
      </c>
      <c r="D19" s="14" t="s">
        <v>35</v>
      </c>
      <c r="E19" s="34" t="n">
        <f aca="false">Inputs!E5</f>
        <v>15.2</v>
      </c>
      <c r="F19" s="15" t="n">
        <f aca="false">Scorecard!E5</f>
        <v>1</v>
      </c>
      <c r="G19" s="35" t="n">
        <f aca="false">Rating_Key!$H$5</f>
        <v>0.2</v>
      </c>
      <c r="H19" s="34" t="n">
        <f aca="false">Scorecard!E5*Rating_Key!$H$5</f>
        <v>0.2</v>
      </c>
      <c r="I19" s="34" t="n">
        <f aca="false">Scorecard!E10</f>
        <v>2.55</v>
      </c>
      <c r="J19" s="15" t="str">
        <f aca="false">Scorecard!E11</f>
        <v>Fair</v>
      </c>
    </row>
    <row r="20" customFormat="false" ht="15" hidden="false" customHeight="false" outlineLevel="0" collapsed="false">
      <c r="A20" s="14" t="s">
        <v>6</v>
      </c>
      <c r="B20" s="14" t="s">
        <v>104</v>
      </c>
      <c r="C20" s="14" t="s">
        <v>105</v>
      </c>
      <c r="D20" s="14" t="s">
        <v>38</v>
      </c>
      <c r="E20" s="34" t="n">
        <f aca="false">Inputs!E7</f>
        <v>4.29</v>
      </c>
      <c r="F20" s="15" t="n">
        <f aca="false">Scorecard!E6</f>
        <v>3</v>
      </c>
      <c r="G20" s="35" t="n">
        <f aca="false">Rating_Key!$H$6</f>
        <v>0.25</v>
      </c>
      <c r="H20" s="34" t="n">
        <f aca="false">Scorecard!E6*Rating_Key!$H$6</f>
        <v>0.75</v>
      </c>
      <c r="I20" s="34" t="n">
        <f aca="false">Scorecard!E10</f>
        <v>2.55</v>
      </c>
      <c r="J20" s="15" t="str">
        <f aca="false">Scorecard!E11</f>
        <v>Fair</v>
      </c>
    </row>
    <row r="21" customFormat="false" ht="15" hidden="false" customHeight="false" outlineLevel="0" collapsed="false">
      <c r="A21" s="14" t="s">
        <v>6</v>
      </c>
      <c r="B21" s="14" t="s">
        <v>106</v>
      </c>
      <c r="C21" s="14" t="s">
        <v>107</v>
      </c>
      <c r="D21" s="14" t="s">
        <v>41</v>
      </c>
      <c r="E21" s="34" t="n">
        <f aca="false">Inputs!E10</f>
        <v>74.4</v>
      </c>
      <c r="F21" s="15" t="n">
        <f aca="false">Scorecard!E7</f>
        <v>4</v>
      </c>
      <c r="G21" s="35" t="n">
        <f aca="false">Rating_Key!$H$7</f>
        <v>0.15</v>
      </c>
      <c r="H21" s="34" t="n">
        <f aca="false">Scorecard!E7*Rating_Key!$H$7</f>
        <v>0.6</v>
      </c>
      <c r="I21" s="34" t="n">
        <f aca="false">Scorecard!E10</f>
        <v>2.55</v>
      </c>
      <c r="J21" s="15" t="str">
        <f aca="false">Scorecard!E11</f>
        <v>Fair</v>
      </c>
    </row>
    <row r="22" customFormat="false" ht="15" hidden="false" customHeight="false" outlineLevel="0" collapsed="false">
      <c r="A22" s="14" t="s">
        <v>6</v>
      </c>
      <c r="B22" s="14" t="s">
        <v>108</v>
      </c>
      <c r="C22" s="14" t="s">
        <v>109</v>
      </c>
      <c r="D22" s="14" t="s">
        <v>43</v>
      </c>
      <c r="E22" s="34" t="n">
        <f aca="false">Inputs!E11</f>
        <v>0.92</v>
      </c>
      <c r="F22" s="15" t="n">
        <f aca="false">Scorecard!E8</f>
        <v>3</v>
      </c>
      <c r="G22" s="35" t="n">
        <f aca="false">Rating_Key!$H$8</f>
        <v>0.2</v>
      </c>
      <c r="H22" s="34" t="n">
        <f aca="false">Scorecard!E8*Rating_Key!$H$8</f>
        <v>0.6</v>
      </c>
      <c r="I22" s="34" t="n">
        <f aca="false">Scorecard!E10</f>
        <v>2.55</v>
      </c>
      <c r="J22" s="15" t="str">
        <f aca="false">Scorecard!E11</f>
        <v>Fair</v>
      </c>
    </row>
    <row r="23" customFormat="false" ht="15" hidden="false" customHeight="false" outlineLevel="0" collapsed="false">
      <c r="A23" s="14" t="s">
        <v>6</v>
      </c>
      <c r="B23" s="14" t="s">
        <v>110</v>
      </c>
      <c r="C23" s="14" t="s">
        <v>111</v>
      </c>
      <c r="D23" s="14" t="s">
        <v>45</v>
      </c>
      <c r="E23" s="34" t="n">
        <f aca="false">Inputs!E13</f>
        <v>67.1</v>
      </c>
      <c r="F23" s="15" t="n">
        <f aca="false">Scorecard!E9</f>
        <v>2</v>
      </c>
      <c r="G23" s="35" t="n">
        <f aca="false">Rating_Key!$H$9</f>
        <v>0.2</v>
      </c>
      <c r="H23" s="34" t="n">
        <f aca="false">Scorecard!E9*Rating_Key!$H$9</f>
        <v>0.4</v>
      </c>
      <c r="I23" s="34" t="n">
        <f aca="false">Scorecard!E10</f>
        <v>2.55</v>
      </c>
      <c r="J23" s="15" t="str">
        <f aca="false">Scorecard!E11</f>
        <v>Fair</v>
      </c>
    </row>
    <row r="24" customFormat="false" ht="15" hidden="false" customHeight="false" outlineLevel="0" collapsed="false">
      <c r="A24" s="14" t="s">
        <v>7</v>
      </c>
      <c r="B24" s="14" t="s">
        <v>102</v>
      </c>
      <c r="C24" s="14" t="s">
        <v>103</v>
      </c>
      <c r="D24" s="14" t="s">
        <v>35</v>
      </c>
      <c r="E24" s="34" t="n">
        <f aca="false">Inputs!F5</f>
        <v>14.68</v>
      </c>
      <c r="F24" s="15" t="n">
        <f aca="false">Scorecard!F5</f>
        <v>2</v>
      </c>
      <c r="G24" s="35" t="n">
        <f aca="false">Rating_Key!$H$5</f>
        <v>0.2</v>
      </c>
      <c r="H24" s="34" t="n">
        <f aca="false">Scorecard!F5*Rating_Key!$H$5</f>
        <v>0.4</v>
      </c>
      <c r="I24" s="34" t="n">
        <f aca="false">Scorecard!F10</f>
        <v>2.75</v>
      </c>
      <c r="J24" s="15" t="str">
        <f aca="false">Scorecard!F11</f>
        <v>Fair</v>
      </c>
    </row>
    <row r="25" customFormat="false" ht="15" hidden="false" customHeight="false" outlineLevel="0" collapsed="false">
      <c r="A25" s="14" t="s">
        <v>7</v>
      </c>
      <c r="B25" s="14" t="s">
        <v>104</v>
      </c>
      <c r="C25" s="14" t="s">
        <v>105</v>
      </c>
      <c r="D25" s="14" t="s">
        <v>38</v>
      </c>
      <c r="E25" s="34" t="n">
        <f aca="false">Inputs!F7</f>
        <v>4.86</v>
      </c>
      <c r="F25" s="15" t="n">
        <f aca="false">Scorecard!F6</f>
        <v>3</v>
      </c>
      <c r="G25" s="35" t="n">
        <f aca="false">Rating_Key!$H$6</f>
        <v>0.25</v>
      </c>
      <c r="H25" s="34" t="n">
        <f aca="false">Scorecard!F6*Rating_Key!$H$6</f>
        <v>0.75</v>
      </c>
      <c r="I25" s="34" t="n">
        <f aca="false">Scorecard!F10</f>
        <v>2.75</v>
      </c>
      <c r="J25" s="15" t="str">
        <f aca="false">Scorecard!F11</f>
        <v>Fair</v>
      </c>
    </row>
    <row r="26" customFormat="false" ht="15" hidden="false" customHeight="false" outlineLevel="0" collapsed="false">
      <c r="A26" s="14" t="s">
        <v>7</v>
      </c>
      <c r="B26" s="14" t="s">
        <v>106</v>
      </c>
      <c r="C26" s="14" t="s">
        <v>107</v>
      </c>
      <c r="D26" s="14" t="s">
        <v>41</v>
      </c>
      <c r="E26" s="34" t="n">
        <f aca="false">Inputs!F10</f>
        <v>72.2</v>
      </c>
      <c r="F26" s="15" t="n">
        <f aca="false">Scorecard!F7</f>
        <v>4</v>
      </c>
      <c r="G26" s="35" t="n">
        <f aca="false">Rating_Key!$H$7</f>
        <v>0.15</v>
      </c>
      <c r="H26" s="34" t="n">
        <f aca="false">Scorecard!F7*Rating_Key!$H$7</f>
        <v>0.6</v>
      </c>
      <c r="I26" s="34" t="n">
        <f aca="false">Scorecard!F10</f>
        <v>2.75</v>
      </c>
      <c r="J26" s="15" t="str">
        <f aca="false">Scorecard!F11</f>
        <v>Fair</v>
      </c>
    </row>
    <row r="27" customFormat="false" ht="15" hidden="false" customHeight="false" outlineLevel="0" collapsed="false">
      <c r="A27" s="14" t="s">
        <v>7</v>
      </c>
      <c r="B27" s="14" t="s">
        <v>108</v>
      </c>
      <c r="C27" s="14" t="s">
        <v>109</v>
      </c>
      <c r="D27" s="14" t="s">
        <v>43</v>
      </c>
      <c r="E27" s="34" t="n">
        <f aca="false">Inputs!F11</f>
        <v>0.87</v>
      </c>
      <c r="F27" s="15" t="n">
        <f aca="false">Scorecard!F8</f>
        <v>3</v>
      </c>
      <c r="G27" s="35" t="n">
        <f aca="false">Rating_Key!$H$8</f>
        <v>0.2</v>
      </c>
      <c r="H27" s="34" t="n">
        <f aca="false">Scorecard!F8*Rating_Key!$H$8</f>
        <v>0.6</v>
      </c>
      <c r="I27" s="34" t="n">
        <f aca="false">Scorecard!F10</f>
        <v>2.75</v>
      </c>
      <c r="J27" s="15" t="str">
        <f aca="false">Scorecard!F11</f>
        <v>Fair</v>
      </c>
    </row>
    <row r="28" customFormat="false" ht="15" hidden="false" customHeight="false" outlineLevel="0" collapsed="false">
      <c r="A28" s="14" t="s">
        <v>7</v>
      </c>
      <c r="B28" s="14" t="s">
        <v>110</v>
      </c>
      <c r="C28" s="14" t="s">
        <v>111</v>
      </c>
      <c r="D28" s="14" t="s">
        <v>45</v>
      </c>
      <c r="E28" s="34" t="n">
        <f aca="false">Inputs!F13</f>
        <v>63</v>
      </c>
      <c r="F28" s="15" t="n">
        <f aca="false">Scorecard!F9</f>
        <v>2</v>
      </c>
      <c r="G28" s="35" t="n">
        <f aca="false">Rating_Key!$H$9</f>
        <v>0.2</v>
      </c>
      <c r="H28" s="34" t="n">
        <f aca="false">Scorecard!F9*Rating_Key!$H$9</f>
        <v>0.4</v>
      </c>
      <c r="I28" s="34" t="n">
        <f aca="false">Scorecard!F10</f>
        <v>2.75</v>
      </c>
      <c r="J28" s="15" t="str">
        <f aca="false">Scorecard!F11</f>
        <v>Fair</v>
      </c>
    </row>
    <row r="30" customFormat="false" ht="15" hidden="false" customHeight="false" outlineLevel="0" collapsed="false">
      <c r="A30" s="36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2026-07-07T01:54:48Z</dcterms:created>
  <dc:creator>openpyxl</dc:creator>
  <dc:description/>
  <dc:language>en-US</dc:language>
  <cp:lastModifiedBy/>
  <dcterms:modified xsi:type="dcterms:W3CDTF">2026-07-07T01:54:48Z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